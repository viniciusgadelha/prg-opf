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icius\Google Drive\PycharmProjects\prg_optimization\data\cs2\timeseries\"/>
    </mc:Choice>
  </mc:AlternateContent>
  <bookViews>
    <workbookView xWindow="240" yWindow="12" windowWidth="16092" windowHeight="9660"/>
  </bookViews>
  <sheets>
    <sheet name="Sheet1" sheetId="1" r:id="rId1"/>
  </sheets>
  <calcPr calcId="162913"/>
  <fileRecoveryPr repairLoad="1"/>
</workbook>
</file>

<file path=xl/calcChain.xml><?xml version="1.0" encoding="utf-8"?>
<calcChain xmlns="http://schemas.openxmlformats.org/spreadsheetml/2006/main">
  <c r="E24" i="1" l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D24" i="1"/>
  <c r="F22" i="1" l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E22" i="1"/>
  <c r="E21" i="1"/>
  <c r="E23" i="1"/>
  <c r="D22" i="1"/>
  <c r="D21" i="1"/>
  <c r="D23" i="1"/>
</calcChain>
</file>

<file path=xl/sharedStrings.xml><?xml version="1.0" encoding="utf-8"?>
<sst xmlns="http://schemas.openxmlformats.org/spreadsheetml/2006/main" count="64" uniqueCount="64">
  <si>
    <t>element</t>
  </si>
  <si>
    <t>index</t>
  </si>
  <si>
    <t>loss_0</t>
  </si>
  <si>
    <t>loss_1</t>
  </si>
  <si>
    <t>loss_2</t>
  </si>
  <si>
    <t>loss_3</t>
  </si>
  <si>
    <t>loss_4</t>
  </si>
  <si>
    <t>loss_5</t>
  </si>
  <si>
    <t>loss_6</t>
  </si>
  <si>
    <t>loss_7</t>
  </si>
  <si>
    <t>loss_8</t>
  </si>
  <si>
    <t>loss_9</t>
  </si>
  <si>
    <t>loss_10</t>
  </si>
  <si>
    <t>loss_11</t>
  </si>
  <si>
    <t>loss_12</t>
  </si>
  <si>
    <t>loss_13</t>
  </si>
  <si>
    <t>loss_14</t>
  </si>
  <si>
    <t>loss_15</t>
  </si>
  <si>
    <t>loss_16</t>
  </si>
  <si>
    <t>loss_17</t>
  </si>
  <si>
    <t>loss_18</t>
  </si>
  <si>
    <t>loss_19</t>
  </si>
  <si>
    <t>loss_20</t>
  </si>
  <si>
    <t>loss_21</t>
  </si>
  <si>
    <t>loss_22</t>
  </si>
  <si>
    <t>loss_23</t>
  </si>
  <si>
    <t>PR1</t>
  </si>
  <si>
    <t>PR2</t>
  </si>
  <si>
    <t>PR3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</si>
  <si>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</si>
  <si>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</si>
  <si>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</si>
  <si>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</si>
  <si>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</si>
  <si>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</si>
  <si>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</si>
  <si>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</si>
  <si>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</si>
  <si>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</si>
  <si>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</si>
  <si>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</si>
  <si>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</si>
  <si>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</si>
  <si>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0,1,2,3</t>
  </si>
  <si>
    <t>4,5,6,7</t>
  </si>
  <si>
    <t>8,9,10,11,12</t>
  </si>
  <si>
    <t>3, 13</t>
  </si>
  <si>
    <t>14, 16</t>
  </si>
  <si>
    <t>17, 19</t>
  </si>
  <si>
    <t>20, 4</t>
  </si>
  <si>
    <t>5, 25</t>
  </si>
  <si>
    <t>26, 9</t>
  </si>
  <si>
    <t>2, 22</t>
  </si>
  <si>
    <t>24, 10</t>
  </si>
  <si>
    <t>1, 28</t>
  </si>
  <si>
    <t>30, 31</t>
  </si>
  <si>
    <t>32, 11</t>
  </si>
  <si>
    <t>6, 39</t>
  </si>
  <si>
    <t>37, 35</t>
  </si>
  <si>
    <t>34, 8</t>
  </si>
  <si>
    <t>PR</t>
  </si>
  <si>
    <t>PR_loss%</t>
  </si>
  <si>
    <t>AC Lines</t>
  </si>
  <si>
    <t>DC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</si>
</sst>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Sheet1!$C$22</c:f>
              <c:strCache>
                <c:ptCount val="1"/>
                <c:pt idx="0">
                  <c:v>PR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Sheet1!$D$22:$AA$22</c:f>
              <c:numCache>
                <c:formatCode>General</c:formatCode>
                <c:ptCount val="24"/>
                <c:pt idx="0">
                  <c:v>11.232701862070593</c:v>
                </c:pt>
                <c:pt idx="1">
                  <c:v>10.766146906668496</c:v>
                </c:pt>
                <c:pt idx="2">
                  <c:v>10.368619598457141</c:v>
                </c:pt>
                <c:pt idx="3">
                  <c:v>10.288760848059574</c:v>
                </c:pt>
                <c:pt idx="4">
                  <c:v>10.282603133779878</c:v>
                </c:pt>
                <c:pt idx="5">
                  <c:v>10.647785936860666</c:v>
                </c:pt>
                <c:pt idx="6">
                  <c:v>11.99072605405166</c:v>
                </c:pt>
                <c:pt idx="7">
                  <c:v>13.977234139142647</c:v>
                </c:pt>
                <c:pt idx="8">
                  <c:v>14.539047249455649</c:v>
                </c:pt>
                <c:pt idx="9">
                  <c:v>14.112251012778465</c:v>
                </c:pt>
                <c:pt idx="10">
                  <c:v>11.690778515084155</c:v>
                </c:pt>
                <c:pt idx="11">
                  <c:v>12.089970901589918</c:v>
                </c:pt>
                <c:pt idx="12">
                  <c:v>12.227138816922722</c:v>
                </c:pt>
                <c:pt idx="13">
                  <c:v>12.321640408007651</c:v>
                </c:pt>
                <c:pt idx="14">
                  <c:v>11.912032889242917</c:v>
                </c:pt>
                <c:pt idx="15">
                  <c:v>11.472833472932932</c:v>
                </c:pt>
                <c:pt idx="16">
                  <c:v>13.462971465531549</c:v>
                </c:pt>
                <c:pt idx="17">
                  <c:v>11.66653671450546</c:v>
                </c:pt>
                <c:pt idx="18">
                  <c:v>12.044828642292394</c:v>
                </c:pt>
                <c:pt idx="19">
                  <c:v>13.65204077615334</c:v>
                </c:pt>
                <c:pt idx="20">
                  <c:v>16.4251721723655</c:v>
                </c:pt>
                <c:pt idx="21">
                  <c:v>15.477075998744594</c:v>
                </c:pt>
                <c:pt idx="22">
                  <c:v>13.835506140576047</c:v>
                </c:pt>
                <c:pt idx="23">
                  <c:v>12.443881229857068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EA-47FA-B041-8F4018F95E99}"/>
            </c:ext>
          </c:extLst>
        </c:ser>
        <c:ser>
          <c:idx val="1"/>
          <c:order val="1"/>
          <c:tx>
            <c:strRef>
              <c:f>Sheet1!$C$21</c:f>
              <c:strCache>
                <c:ptCount val="1"/>
                <c:pt idx="0">
                  <c:v>AC Lines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Sheet1!$D$21:$AA$21</c:f>
              <c:numCache>
                <c:formatCode>General</c:formatCode>
                <c:ptCount val="24"/>
                <c:pt idx="0">
                  <c:v>40.007107914490504</c:v>
                </c:pt>
                <c:pt idx="1">
                  <c:v>37.260028595613676</c:v>
                </c:pt>
                <c:pt idx="2">
                  <c:v>34.994490514773737</c:v>
                </c:pt>
                <c:pt idx="3">
                  <c:v>34.196417839900661</c:v>
                </c:pt>
                <c:pt idx="4">
                  <c:v>33.721854132472274</c:v>
                </c:pt>
                <c:pt idx="5">
                  <c:v>34.661496194395546</c:v>
                </c:pt>
                <c:pt idx="6">
                  <c:v>40.676756271561395</c:v>
                </c:pt>
                <c:pt idx="7">
                  <c:v>49.94702358414294</c:v>
                </c:pt>
                <c:pt idx="8">
                  <c:v>53.547582374074501</c:v>
                </c:pt>
                <c:pt idx="9">
                  <c:v>54.370443917182392</c:v>
                </c:pt>
                <c:pt idx="10">
                  <c:v>53.628852121292979</c:v>
                </c:pt>
                <c:pt idx="11">
                  <c:v>52.841916997433003</c:v>
                </c:pt>
                <c:pt idx="12">
                  <c:v>53.530410970931591</c:v>
                </c:pt>
                <c:pt idx="13">
                  <c:v>54.769063880537999</c:v>
                </c:pt>
                <c:pt idx="14">
                  <c:v>53.379826047239739</c:v>
                </c:pt>
                <c:pt idx="15">
                  <c:v>51.13541760233192</c:v>
                </c:pt>
                <c:pt idx="16">
                  <c:v>50.836019045491156</c:v>
                </c:pt>
                <c:pt idx="17">
                  <c:v>51.849342776402132</c:v>
                </c:pt>
                <c:pt idx="18">
                  <c:v>52.545739289619782</c:v>
                </c:pt>
                <c:pt idx="19">
                  <c:v>54.511389099269174</c:v>
                </c:pt>
                <c:pt idx="20">
                  <c:v>60.483246166339896</c:v>
                </c:pt>
                <c:pt idx="21">
                  <c:v>59.97244469644157</c:v>
                </c:pt>
                <c:pt idx="22">
                  <c:v>50.696870654309528</c:v>
                </c:pt>
                <c:pt idx="23">
                  <c:v>43.138393824756598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EA-47FA-B041-8F4018F95E99}"/>
            </c:ext>
          </c:extLst>
        </c:ser>
        <c:ser>
          <c:idx val="2"/>
          <c:order val="2"/>
          <c:tx>
            <c:strRef>
              <c:f>Sheet1!$C$23</c:f>
              <c:strCache>
                <c:ptCount val="1"/>
                <c:pt idx="0">
                  <c:v>DC Lines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Sheet1!$D$23:$AA$23</c:f>
              <c:numCache>
                <c:formatCode>General</c:formatCode>
                <c:ptCount val="24"/>
                <c:pt idx="0">
                  <c:v>11.40459063543369</c:v>
                </c:pt>
                <c:pt idx="1">
                  <c:v>10.071371252713083</c:v>
                </c:pt>
                <c:pt idx="2">
                  <c:v>8.9771226057713118</c:v>
                </c:pt>
                <c:pt idx="3">
                  <c:v>8.1781728414180286</c:v>
                </c:pt>
                <c:pt idx="4">
                  <c:v>7.4953157200320923</c:v>
                </c:pt>
                <c:pt idx="5">
                  <c:v>6.9228384478435263</c:v>
                </c:pt>
                <c:pt idx="6">
                  <c:v>7.7899308376441487</c:v>
                </c:pt>
                <c:pt idx="7">
                  <c:v>12.405691300627991</c:v>
                </c:pt>
                <c:pt idx="8">
                  <c:v>9.9448747765312628</c:v>
                </c:pt>
                <c:pt idx="9">
                  <c:v>10.525720356805989</c:v>
                </c:pt>
                <c:pt idx="10">
                  <c:v>10.74254088000281</c:v>
                </c:pt>
                <c:pt idx="11">
                  <c:v>10.395211835768395</c:v>
                </c:pt>
                <c:pt idx="12">
                  <c:v>11.309621630182038</c:v>
                </c:pt>
                <c:pt idx="13">
                  <c:v>11.983295240955766</c:v>
                </c:pt>
                <c:pt idx="14">
                  <c:v>12.112102824919377</c:v>
                </c:pt>
                <c:pt idx="15">
                  <c:v>11.181794788754665</c:v>
                </c:pt>
                <c:pt idx="16">
                  <c:v>13.471033854390134</c:v>
                </c:pt>
                <c:pt idx="17">
                  <c:v>9.7743263213491556</c:v>
                </c:pt>
                <c:pt idx="18">
                  <c:v>8.9628250142756976</c:v>
                </c:pt>
                <c:pt idx="19">
                  <c:v>9.676536392070668</c:v>
                </c:pt>
                <c:pt idx="20">
                  <c:v>14.432647110377214</c:v>
                </c:pt>
                <c:pt idx="21">
                  <c:v>15.412284023851981</c:v>
                </c:pt>
                <c:pt idx="22">
                  <c:v>9.8557478658096986</c:v>
                </c:pt>
                <c:pt idx="23">
                  <c:v>8.380855238002944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EA-47FA-B041-8F4018F95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0929264"/>
        <c:axId val="560926768"/>
      </c:barChart>
      <c:catAx>
        <c:axId val="560929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926768"/>
        <c:crosses val="autoZero"/>
        <c:auto val="1"/>
        <c:lblAlgn val="ctr"/>
        <c:lblOffset val="100"/>
        <c:noMultiLvlLbl val="0"/>
      </c:catAx>
      <c:valAx>
        <c:axId val="56092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92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292565</xdr:colOff>
      <xdr:row>28</xdr:row>
      <xdr:rowOff>23505</xdr:rowOff>
    </xdr:from>
    <xdr:to>
      <xdr:col>13</xdr:col>
      <xdr:colOff>171950</xdr:colOff>
      <xdr:row>43</xdr:row>
      <xdr:rowOff>176477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"/>
  <sheetViews>
    <sheetView tabSelected="1" topLeftCell="C1" zoomScale="115" zoomScaleNormal="115" workbookViewId="0">
      <selection activeCell="V3" sqref="V3"/>
    </sheetView>
  </sheetViews>
  <sheetFormatPr defaultRowHeight="14.4" x14ac:dyDescent="0.3"/>
  <sheetData>
    <row r="1" spans="1:2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3">
      <c r="A2" s="1">
        <v>0</v>
      </c>
      <c r="B2" t="s">
        <v>26</v>
      </c>
      <c r="C2" t="s">
        <v>43</v>
      </c>
      <c r="D2">
        <v>3.701979669510969</v>
      </c>
      <c r="E2">
        <v>3.5370245331542431</v>
      </c>
      <c r="F2">
        <v>3.395521165875603</v>
      </c>
      <c r="G2">
        <v>3.3443246554504258</v>
      </c>
      <c r="H2">
        <v>3.3134734949637479</v>
      </c>
      <c r="I2">
        <v>3.373722101510102</v>
      </c>
      <c r="J2">
        <v>3.7415587825916918</v>
      </c>
      <c r="K2">
        <v>3.1440349241766969</v>
      </c>
      <c r="L2">
        <v>4.3742130963883019</v>
      </c>
      <c r="M2">
        <v>3.310225407857637</v>
      </c>
      <c r="N2">
        <v>3.2828842091088268</v>
      </c>
      <c r="O2">
        <v>3.2536689238128469</v>
      </c>
      <c r="P2">
        <v>3.2795835059643559</v>
      </c>
      <c r="Q2">
        <v>3.3254752354486832</v>
      </c>
      <c r="R2">
        <v>3.274057658123497</v>
      </c>
      <c r="S2">
        <v>3.18900220987739</v>
      </c>
      <c r="T2">
        <v>3.1775802938887039</v>
      </c>
      <c r="U2">
        <v>3.2161113816453479</v>
      </c>
      <c r="V2">
        <v>3.2429593922919109</v>
      </c>
      <c r="W2">
        <v>3.931464354111958</v>
      </c>
      <c r="X2">
        <v>3.8496226451140152</v>
      </c>
      <c r="Y2">
        <v>3.5107125759155089</v>
      </c>
      <c r="Z2">
        <v>4.2843561301556532</v>
      </c>
      <c r="AA2">
        <v>3.88166503094034</v>
      </c>
    </row>
    <row r="3" spans="1:27" x14ac:dyDescent="0.3">
      <c r="A3" s="1">
        <v>1</v>
      </c>
      <c r="B3" t="s">
        <v>27</v>
      </c>
      <c r="C3" t="s">
        <v>44</v>
      </c>
      <c r="D3">
        <v>2.7192071273559049</v>
      </c>
      <c r="E3">
        <v>2.594986572193148</v>
      </c>
      <c r="F3">
        <v>2.4876598362189029</v>
      </c>
      <c r="G3">
        <v>2.448849393930697</v>
      </c>
      <c r="H3">
        <v>2.4254550518105771</v>
      </c>
      <c r="I3">
        <v>2.4722223364075369</v>
      </c>
      <c r="J3">
        <v>2.7487579495999448</v>
      </c>
      <c r="K3">
        <v>3.1306790018035269</v>
      </c>
      <c r="L3">
        <v>3.2675381067936988</v>
      </c>
      <c r="M3">
        <v>3.2984352143383688</v>
      </c>
      <c r="N3">
        <v>3.446653087109119</v>
      </c>
      <c r="O3">
        <v>3.357993496911682</v>
      </c>
      <c r="P3">
        <v>3.383605921784882</v>
      </c>
      <c r="Q3">
        <v>3.4292362043863989</v>
      </c>
      <c r="R3">
        <v>3.377996821032125</v>
      </c>
      <c r="S3">
        <v>3.1769511901418301</v>
      </c>
      <c r="T3">
        <v>3.165116442119698</v>
      </c>
      <c r="U3">
        <v>3.204207652233837</v>
      </c>
      <c r="V3">
        <v>3.2300988852880241</v>
      </c>
      <c r="W3">
        <v>3.3036616013788489</v>
      </c>
      <c r="X3">
        <v>3.516668171629211</v>
      </c>
      <c r="Y3">
        <v>3.4993757983665659</v>
      </c>
      <c r="Z3">
        <v>3.1596199635883782</v>
      </c>
      <c r="AA3">
        <v>2.8552366814993402</v>
      </c>
    </row>
    <row r="4" spans="1:27" x14ac:dyDescent="0.3">
      <c r="A4" s="1">
        <v>2</v>
      </c>
      <c r="B4" t="s">
        <v>28</v>
      </c>
      <c r="C4" t="s">
        <v>45</v>
      </c>
      <c r="D4">
        <v>4.8115150652037197</v>
      </c>
      <c r="E4">
        <v>4.6341358013211043</v>
      </c>
      <c r="F4">
        <v>4.4854385963626342</v>
      </c>
      <c r="G4">
        <v>4.4955867986784526</v>
      </c>
      <c r="H4">
        <v>4.5436745870055528</v>
      </c>
      <c r="I4">
        <v>4.8018414989430269</v>
      </c>
      <c r="J4">
        <v>5.5004093218600234</v>
      </c>
      <c r="K4">
        <v>7.7025202131624226</v>
      </c>
      <c r="L4">
        <v>6.8972960462736488</v>
      </c>
      <c r="M4">
        <v>7.5035903905824597</v>
      </c>
      <c r="N4">
        <v>4.9612412188662081</v>
      </c>
      <c r="O4">
        <v>5.4783084808653904</v>
      </c>
      <c r="P4">
        <v>5.5639493891734837</v>
      </c>
      <c r="Q4">
        <v>5.5669289681725687</v>
      </c>
      <c r="R4">
        <v>5.2599784100872959</v>
      </c>
      <c r="S4">
        <v>5.1068800729137109</v>
      </c>
      <c r="T4">
        <v>7.1202747295231461</v>
      </c>
      <c r="U4">
        <v>5.246217680626275</v>
      </c>
      <c r="V4">
        <v>5.5717703647124583</v>
      </c>
      <c r="W4">
        <v>6.4169148206625337</v>
      </c>
      <c r="X4">
        <v>9.0588813556222725</v>
      </c>
      <c r="Y4">
        <v>8.4669876244625186</v>
      </c>
      <c r="Z4">
        <v>6.3915300468320169</v>
      </c>
      <c r="AA4">
        <v>5.7069795174173876</v>
      </c>
    </row>
    <row r="5" spans="1:27" x14ac:dyDescent="0.3">
      <c r="A5" s="1">
        <v>3</v>
      </c>
      <c r="B5" t="s">
        <v>29</v>
      </c>
      <c r="C5" t="s">
        <v>46</v>
      </c>
      <c r="D5">
        <v>4.4364191608790016</v>
      </c>
      <c r="E5">
        <v>4.1737803976024113</v>
      </c>
      <c r="F5">
        <v>3.9573539391969952</v>
      </c>
      <c r="G5">
        <v>3.8818449306896041</v>
      </c>
      <c r="H5">
        <v>3.8359412049566171</v>
      </c>
      <c r="I5">
        <v>3.9241253496646871</v>
      </c>
      <c r="J5">
        <v>4.5020230381639941</v>
      </c>
      <c r="K5">
        <v>5.3849360246102096</v>
      </c>
      <c r="L5">
        <v>5.7270521947255792</v>
      </c>
      <c r="M5">
        <v>5.8027312307293846</v>
      </c>
      <c r="N5">
        <v>5.7335521770394138</v>
      </c>
      <c r="O5">
        <v>5.6581344253209256</v>
      </c>
      <c r="P5">
        <v>5.7241804806050789</v>
      </c>
      <c r="Q5">
        <v>5.8433126951318304</v>
      </c>
      <c r="R5">
        <v>5.7110528217634293</v>
      </c>
      <c r="S5">
        <v>5.4960709451840062</v>
      </c>
      <c r="T5">
        <v>5.4683047743478994</v>
      </c>
      <c r="U5">
        <v>5.5629991925594258</v>
      </c>
      <c r="V5">
        <v>5.6321276838151579</v>
      </c>
      <c r="W5">
        <v>5.8169716956479878</v>
      </c>
      <c r="X5">
        <v>6.3848319926463892</v>
      </c>
      <c r="Y5">
        <v>6.3342259607048756</v>
      </c>
      <c r="Z5">
        <v>5.4557400322202687</v>
      </c>
      <c r="AA5">
        <v>4.7360283177994571</v>
      </c>
    </row>
    <row r="6" spans="1:27" x14ac:dyDescent="0.3">
      <c r="A6" s="1">
        <v>4</v>
      </c>
      <c r="B6" t="s">
        <v>30</v>
      </c>
      <c r="C6" t="s">
        <v>47</v>
      </c>
      <c r="D6">
        <v>0.94977362623099859</v>
      </c>
      <c r="E6">
        <v>0.91752649260029573</v>
      </c>
      <c r="F6">
        <v>0.89102826848860839</v>
      </c>
      <c r="G6">
        <v>0.88194426321511199</v>
      </c>
      <c r="H6">
        <v>0.87621255813349896</v>
      </c>
      <c r="I6">
        <v>0.88666675320508981</v>
      </c>
      <c r="J6">
        <v>0.95816508864740579</v>
      </c>
      <c r="K6">
        <v>1.0662781674500019</v>
      </c>
      <c r="L6">
        <v>1.108153668534589</v>
      </c>
      <c r="M6">
        <v>1.11690862770808</v>
      </c>
      <c r="N6">
        <v>1.108696711098422</v>
      </c>
      <c r="O6">
        <v>1.0993241408624179</v>
      </c>
      <c r="P6">
        <v>1.1075448453854999</v>
      </c>
      <c r="Q6">
        <v>1.1224439054974</v>
      </c>
      <c r="R6">
        <v>1.106181125243189</v>
      </c>
      <c r="S6">
        <v>1.0795017389657879</v>
      </c>
      <c r="T6">
        <v>1.076245930604403</v>
      </c>
      <c r="U6">
        <v>1.0875046064020011</v>
      </c>
      <c r="V6">
        <v>1.096582166101395</v>
      </c>
      <c r="W6">
        <v>1.1188299157093851</v>
      </c>
      <c r="X6">
        <v>1.1886423676424061</v>
      </c>
      <c r="Y6">
        <v>1.1819923531039001</v>
      </c>
      <c r="Z6">
        <v>1.0748451220013171</v>
      </c>
      <c r="AA6">
        <v>0.98667120388279406</v>
      </c>
    </row>
    <row r="7" spans="1:27" x14ac:dyDescent="0.3">
      <c r="A7" s="1">
        <v>5</v>
      </c>
      <c r="B7" t="s">
        <v>31</v>
      </c>
      <c r="C7" t="s">
        <v>48</v>
      </c>
      <c r="D7">
        <v>0.50059678209821157</v>
      </c>
      <c r="E7">
        <v>0.47028359890671778</v>
      </c>
      <c r="F7">
        <v>0.44515684167589781</v>
      </c>
      <c r="G7">
        <v>0.43604358032700569</v>
      </c>
      <c r="H7">
        <v>0.43095933142001108</v>
      </c>
      <c r="I7">
        <v>0.4419364081138244</v>
      </c>
      <c r="J7">
        <v>0.50743852376239351</v>
      </c>
      <c r="K7">
        <v>0.61017390384229819</v>
      </c>
      <c r="L7">
        <v>0.65010212463861849</v>
      </c>
      <c r="M7">
        <v>0.66005817261108324</v>
      </c>
      <c r="N7">
        <v>0.65141576171451332</v>
      </c>
      <c r="O7">
        <v>0.64291957803130906</v>
      </c>
      <c r="P7">
        <v>0.65033217562121548</v>
      </c>
      <c r="Q7">
        <v>0.66355044305987931</v>
      </c>
      <c r="R7">
        <v>0.64826492085451326</v>
      </c>
      <c r="S7">
        <v>0.62397099445379856</v>
      </c>
      <c r="T7">
        <v>0.62041743157700835</v>
      </c>
      <c r="U7">
        <v>0.63219732880370749</v>
      </c>
      <c r="V7">
        <v>0.63891440484220574</v>
      </c>
      <c r="W7">
        <v>0.66132992257639245</v>
      </c>
      <c r="X7">
        <v>0.72706506503500412</v>
      </c>
      <c r="Y7">
        <v>0.72214596396788511</v>
      </c>
      <c r="Z7">
        <v>0.61865049976328468</v>
      </c>
      <c r="AA7">
        <v>0.53496168658712095</v>
      </c>
    </row>
    <row r="8" spans="1:27" x14ac:dyDescent="0.3">
      <c r="A8" s="1">
        <v>6</v>
      </c>
      <c r="B8" t="s">
        <v>32</v>
      </c>
      <c r="C8" t="s">
        <v>49</v>
      </c>
      <c r="D8">
        <v>3.132387269984771</v>
      </c>
      <c r="E8">
        <v>2.8721374456501798</v>
      </c>
      <c r="F8">
        <v>2.657029797109411</v>
      </c>
      <c r="G8">
        <v>2.580461091369501</v>
      </c>
      <c r="H8">
        <v>2.5359107953663029</v>
      </c>
      <c r="I8">
        <v>2.6267981839115939</v>
      </c>
      <c r="J8">
        <v>3.194197848160663</v>
      </c>
      <c r="K8">
        <v>4.0726404312745323</v>
      </c>
      <c r="L8">
        <v>4.4135026505147668</v>
      </c>
      <c r="M8">
        <v>4.4938016365819733</v>
      </c>
      <c r="N8">
        <v>4.4224003634787401</v>
      </c>
      <c r="O8">
        <v>4.3485963101308478</v>
      </c>
      <c r="P8">
        <v>4.4131074248549007</v>
      </c>
      <c r="Q8">
        <v>4.5288054725831639</v>
      </c>
      <c r="R8">
        <v>4.3976937932314053</v>
      </c>
      <c r="S8">
        <v>4.1869800671853197</v>
      </c>
      <c r="T8">
        <v>4.1579495356757201</v>
      </c>
      <c r="U8">
        <v>4.2554744591617446</v>
      </c>
      <c r="V8">
        <v>4.3184539138644276</v>
      </c>
      <c r="W8">
        <v>4.5062868087432104</v>
      </c>
      <c r="X8">
        <v>5.06963284720785</v>
      </c>
      <c r="Y8">
        <v>5.0235236801756677</v>
      </c>
      <c r="Z8">
        <v>4.1441188851395472</v>
      </c>
      <c r="AA8">
        <v>3.4283201674266128</v>
      </c>
    </row>
    <row r="9" spans="1:27" x14ac:dyDescent="0.3">
      <c r="A9" s="1">
        <v>7</v>
      </c>
      <c r="B9" t="s">
        <v>33</v>
      </c>
      <c r="C9" t="s">
        <v>50</v>
      </c>
      <c r="D9">
        <v>9.09781149197525</v>
      </c>
      <c r="E9">
        <v>8.5562308678188153</v>
      </c>
      <c r="F9">
        <v>8.1059454880487714</v>
      </c>
      <c r="G9">
        <v>7.9491204061564176</v>
      </c>
      <c r="H9">
        <v>7.8535361839600633</v>
      </c>
      <c r="I9">
        <v>8.0423504567984079</v>
      </c>
      <c r="J9">
        <v>9.2336257913275261</v>
      </c>
      <c r="K9">
        <v>11.063492513134991</v>
      </c>
      <c r="L9">
        <v>11.773010517883931</v>
      </c>
      <c r="M9">
        <v>11.93402249050834</v>
      </c>
      <c r="N9">
        <v>11.790412279326761</v>
      </c>
      <c r="O9">
        <v>11.63278273756652</v>
      </c>
      <c r="P9">
        <v>11.76841163402065</v>
      </c>
      <c r="Q9">
        <v>12.013367577150319</v>
      </c>
      <c r="R9">
        <v>11.741155919501869</v>
      </c>
      <c r="S9">
        <v>11.29870031711577</v>
      </c>
      <c r="T9">
        <v>11.23760428738008</v>
      </c>
      <c r="U9">
        <v>11.43804889654454</v>
      </c>
      <c r="V9">
        <v>11.57692986134462</v>
      </c>
      <c r="W9">
        <v>11.963784088578461</v>
      </c>
      <c r="X9">
        <v>13.137093391929479</v>
      </c>
      <c r="Y9">
        <v>13.037274715997921</v>
      </c>
      <c r="Z9">
        <v>11.21006824749859</v>
      </c>
      <c r="AA9">
        <v>9.7215025506963713</v>
      </c>
    </row>
    <row r="10" spans="1:27" x14ac:dyDescent="0.3">
      <c r="A10" s="1">
        <v>8</v>
      </c>
      <c r="B10" t="s">
        <v>34</v>
      </c>
      <c r="C10" t="s">
        <v>51</v>
      </c>
      <c r="D10">
        <v>6.396153981572839</v>
      </c>
      <c r="E10">
        <v>5.8569194748245854</v>
      </c>
      <c r="F10">
        <v>5.4160156835646456</v>
      </c>
      <c r="G10">
        <v>5.2589416657435333</v>
      </c>
      <c r="H10">
        <v>5.1678787934357757</v>
      </c>
      <c r="I10">
        <v>5.3486344797673002</v>
      </c>
      <c r="J10">
        <v>6.5238401695827957</v>
      </c>
      <c r="K10">
        <v>8.3430050542485645</v>
      </c>
      <c r="L10">
        <v>9.0513756068091311</v>
      </c>
      <c r="M10">
        <v>9.2144495463155618</v>
      </c>
      <c r="N10">
        <v>9.0659812098872194</v>
      </c>
      <c r="O10">
        <v>8.9136884223385273</v>
      </c>
      <c r="P10">
        <v>9.0492115932805373</v>
      </c>
      <c r="Q10">
        <v>9.2921077373536711</v>
      </c>
      <c r="R10">
        <v>9.0171605357863847</v>
      </c>
      <c r="S10">
        <v>8.575746713091025</v>
      </c>
      <c r="T10">
        <v>8.5189465883805937</v>
      </c>
      <c r="U10">
        <v>8.7175349335222307</v>
      </c>
      <c r="V10">
        <v>8.852900701048604</v>
      </c>
      <c r="W10">
        <v>9.2402013807108005</v>
      </c>
      <c r="X10">
        <v>10.41944370439618</v>
      </c>
      <c r="Y10">
        <v>10.31800358499591</v>
      </c>
      <c r="Z10">
        <v>8.4916898161886412</v>
      </c>
      <c r="AA10">
        <v>7.0047036220620704</v>
      </c>
    </row>
    <row r="11" spans="1:27" x14ac:dyDescent="0.3">
      <c r="A11" s="1">
        <v>9</v>
      </c>
      <c r="B11" t="s">
        <v>35</v>
      </c>
      <c r="C11" t="s">
        <v>52</v>
      </c>
      <c r="D11">
        <v>9.1003173775602306</v>
      </c>
      <c r="E11">
        <v>8.5549084926345724</v>
      </c>
      <c r="F11">
        <v>8.1073216656404874</v>
      </c>
      <c r="G11">
        <v>7.9481267239399633</v>
      </c>
      <c r="H11">
        <v>7.8540283257869099</v>
      </c>
      <c r="I11">
        <v>8.0396097635349051</v>
      </c>
      <c r="J11">
        <v>9.2336816747023995</v>
      </c>
      <c r="K11">
        <v>11.065150777664011</v>
      </c>
      <c r="L11">
        <v>11.773973049656551</v>
      </c>
      <c r="M11">
        <v>11.93487781241897</v>
      </c>
      <c r="N11">
        <v>11.787020801204079</v>
      </c>
      <c r="O11">
        <v>11.63449050302912</v>
      </c>
      <c r="P11">
        <v>11.771208093324219</v>
      </c>
      <c r="Q11">
        <v>12.014004469782179</v>
      </c>
      <c r="R11">
        <v>11.73991026281174</v>
      </c>
      <c r="S11">
        <v>11.29638139112055</v>
      </c>
      <c r="T11">
        <v>11.236214475233711</v>
      </c>
      <c r="U11">
        <v>11.438671568093641</v>
      </c>
      <c r="V11">
        <v>11.57576233349833</v>
      </c>
      <c r="W11">
        <v>11.963913084218619</v>
      </c>
      <c r="X11">
        <v>13.14134610177031</v>
      </c>
      <c r="Y11">
        <v>13.038610260761811</v>
      </c>
      <c r="Z11">
        <v>11.210193492431801</v>
      </c>
      <c r="AA11">
        <v>9.720010307671556</v>
      </c>
    </row>
    <row r="12" spans="1:27" x14ac:dyDescent="0.3">
      <c r="A12" s="1">
        <v>10</v>
      </c>
      <c r="B12" t="s">
        <v>36</v>
      </c>
      <c r="C12" t="s">
        <v>53</v>
      </c>
      <c r="D12">
        <v>6.3936482241891968</v>
      </c>
      <c r="E12">
        <v>5.8582418255760942</v>
      </c>
      <c r="F12">
        <v>5.414638831048924</v>
      </c>
      <c r="G12">
        <v>5.2599351784595179</v>
      </c>
      <c r="H12">
        <v>5.1673869394130989</v>
      </c>
      <c r="I12">
        <v>5.3513747993997329</v>
      </c>
      <c r="J12">
        <v>6.5237841372142169</v>
      </c>
      <c r="K12">
        <v>8.3413467119183302</v>
      </c>
      <c r="L12">
        <v>9.0504125613113384</v>
      </c>
      <c r="M12">
        <v>9.2135944003089989</v>
      </c>
      <c r="N12">
        <v>9.0693728175438295</v>
      </c>
      <c r="O12">
        <v>8.911980880153326</v>
      </c>
      <c r="P12">
        <v>9.0464147238394901</v>
      </c>
      <c r="Q12">
        <v>9.2914715799795609</v>
      </c>
      <c r="R12">
        <v>9.0184066680472075</v>
      </c>
      <c r="S12">
        <v>8.5780654352156649</v>
      </c>
      <c r="T12">
        <v>8.5203360222917404</v>
      </c>
      <c r="U12">
        <v>8.7169117913148408</v>
      </c>
      <c r="V12">
        <v>8.8540682251050384</v>
      </c>
      <c r="W12">
        <v>9.2400722030843152</v>
      </c>
      <c r="X12">
        <v>10.41519069571228</v>
      </c>
      <c r="Y12">
        <v>10.3166681767336</v>
      </c>
      <c r="Z12">
        <v>8.4915645590660773</v>
      </c>
      <c r="AA12">
        <v>7.006195968630613</v>
      </c>
    </row>
    <row r="13" spans="1:27" x14ac:dyDescent="0.3">
      <c r="A13" s="1">
        <v>11</v>
      </c>
      <c r="B13" t="s">
        <v>37</v>
      </c>
      <c r="C13" t="s">
        <v>54</v>
      </c>
      <c r="D13">
        <v>0.6383161352608302</v>
      </c>
      <c r="E13">
        <v>0.58615309548248895</v>
      </c>
      <c r="F13">
        <v>0.54296875698817137</v>
      </c>
      <c r="G13">
        <v>0.52775071840915899</v>
      </c>
      <c r="H13">
        <v>0.51886148136259802</v>
      </c>
      <c r="I13">
        <v>0.53672696795059593</v>
      </c>
      <c r="J13">
        <v>0.65101593436733829</v>
      </c>
      <c r="K13">
        <v>9.2407837746708021E-3</v>
      </c>
      <c r="L13">
        <v>0.81347281093691048</v>
      </c>
      <c r="M13">
        <v>0.58099240926590134</v>
      </c>
      <c r="N13">
        <v>1.290425234476422E-2</v>
      </c>
      <c r="O13">
        <v>1.0048550234862399</v>
      </c>
      <c r="P13">
        <v>1.4928065666424679</v>
      </c>
      <c r="Q13">
        <v>1.757936776619839</v>
      </c>
      <c r="R13">
        <v>1.933569479758535</v>
      </c>
      <c r="S13">
        <v>1.593060435077287</v>
      </c>
      <c r="T13">
        <v>4.9146477929519206</v>
      </c>
      <c r="U13">
        <v>0.55729103342488928</v>
      </c>
      <c r="V13">
        <v>3.384455346749915E-2</v>
      </c>
      <c r="W13">
        <v>0.2577989407052117</v>
      </c>
      <c r="X13">
        <v>6.987105825340123E-2</v>
      </c>
      <c r="Y13">
        <v>9.2407837746708021E-3</v>
      </c>
      <c r="Z13">
        <v>0.84049986771239649</v>
      </c>
      <c r="AA13">
        <v>0.69766113177832656</v>
      </c>
    </row>
    <row r="14" spans="1:27" x14ac:dyDescent="0.3">
      <c r="A14" s="1">
        <v>12</v>
      </c>
      <c r="B14" t="s">
        <v>38</v>
      </c>
      <c r="C14" t="s">
        <v>55</v>
      </c>
      <c r="D14">
        <v>0.63831610489278878</v>
      </c>
      <c r="E14">
        <v>0.58615306923937016</v>
      </c>
      <c r="F14">
        <v>0.54296873531339829</v>
      </c>
      <c r="G14">
        <v>0.52775069800914398</v>
      </c>
      <c r="H14">
        <v>0.5188614807999925</v>
      </c>
      <c r="I14">
        <v>0.53672696521217533</v>
      </c>
      <c r="J14">
        <v>0.65101591893329536</v>
      </c>
      <c r="K14">
        <v>9.2407837041855179E-3</v>
      </c>
      <c r="L14">
        <v>0.81347280840582403</v>
      </c>
      <c r="M14">
        <v>0.33013387003760769</v>
      </c>
      <c r="N14">
        <v>6.1068734257471169</v>
      </c>
      <c r="O14">
        <v>4.8914619852663543</v>
      </c>
      <c r="P14">
        <v>5.4310761329028354</v>
      </c>
      <c r="Q14">
        <v>5.7612445604999776</v>
      </c>
      <c r="R14">
        <v>5.8151065241383026</v>
      </c>
      <c r="S14">
        <v>5.3548720153444576</v>
      </c>
      <c r="T14">
        <v>1.312867608681489</v>
      </c>
      <c r="U14">
        <v>4.2835753997167991</v>
      </c>
      <c r="V14">
        <v>3.2435769315393159</v>
      </c>
      <c r="W14">
        <v>1.392583338499898</v>
      </c>
      <c r="X14">
        <v>6.9870811934699684E-2</v>
      </c>
      <c r="Y14">
        <v>9.2407835791813442E-3</v>
      </c>
      <c r="Z14">
        <v>0.84049985225259638</v>
      </c>
      <c r="AA14">
        <v>0.69766111459668156</v>
      </c>
    </row>
    <row r="15" spans="1:27" x14ac:dyDescent="0.3">
      <c r="A15" s="1">
        <v>13</v>
      </c>
      <c r="B15" t="s">
        <v>39</v>
      </c>
      <c r="C15" t="s">
        <v>56</v>
      </c>
      <c r="D15">
        <v>2.6182468057692749</v>
      </c>
      <c r="E15">
        <v>2.4015183086120162</v>
      </c>
      <c r="F15">
        <v>2.222805001491079</v>
      </c>
      <c r="G15">
        <v>2.1597945429789882</v>
      </c>
      <c r="H15">
        <v>2.1219893568816821</v>
      </c>
      <c r="I15">
        <v>2.1963025376391392</v>
      </c>
      <c r="J15">
        <v>2.6710492454242729</v>
      </c>
      <c r="K15">
        <v>8.0381969599909731</v>
      </c>
      <c r="L15">
        <v>3.850447083958652</v>
      </c>
      <c r="M15">
        <v>5.2888844551138847</v>
      </c>
      <c r="N15">
        <v>0.15959465947759649</v>
      </c>
      <c r="O15">
        <v>0.39285007705397451</v>
      </c>
      <c r="P15">
        <v>0.27890831395258048</v>
      </c>
      <c r="Q15">
        <v>0.2452455721711766</v>
      </c>
      <c r="R15">
        <v>0.19531310668899349</v>
      </c>
      <c r="S15">
        <v>0.22166153111388701</v>
      </c>
      <c r="T15">
        <v>2.607616189566953</v>
      </c>
      <c r="U15">
        <v>0.54640861041288513</v>
      </c>
      <c r="V15">
        <v>1.063714932454995</v>
      </c>
      <c r="W15">
        <v>2.9317771118745339</v>
      </c>
      <c r="X15">
        <v>7.7959456941849581</v>
      </c>
      <c r="Y15">
        <v>9.8134462753629581</v>
      </c>
      <c r="Z15">
        <v>3.4595064469135068</v>
      </c>
      <c r="AA15">
        <v>2.865030299698978</v>
      </c>
    </row>
    <row r="16" spans="1:27" x14ac:dyDescent="0.3">
      <c r="A16" s="1">
        <v>14</v>
      </c>
      <c r="B16" t="s">
        <v>40</v>
      </c>
      <c r="C16" t="s">
        <v>57</v>
      </c>
      <c r="D16">
        <v>2.3581552519490461</v>
      </c>
      <c r="E16">
        <v>1.9003908566890271</v>
      </c>
      <c r="F16">
        <v>1.531484768700575</v>
      </c>
      <c r="G16">
        <v>1.166812029332942</v>
      </c>
      <c r="H16">
        <v>0.83831460742067598</v>
      </c>
      <c r="I16">
        <v>0.43048086488289838</v>
      </c>
      <c r="J16">
        <v>0.24924387920391419</v>
      </c>
      <c r="K16">
        <v>0.20007644803640701</v>
      </c>
      <c r="L16">
        <v>9.7519637584406182E-2</v>
      </c>
      <c r="M16">
        <v>2.2078195294039649E-2</v>
      </c>
      <c r="N16">
        <v>2.099079972871926E-2</v>
      </c>
      <c r="O16">
        <v>9.2407837746569244E-3</v>
      </c>
      <c r="P16">
        <v>9.2407718940146211E-3</v>
      </c>
      <c r="Q16">
        <v>9.2407837746569244E-3</v>
      </c>
      <c r="R16">
        <v>9.2407837746569244E-3</v>
      </c>
      <c r="S16">
        <v>9.240775824481684E-3</v>
      </c>
      <c r="T16">
        <v>0.64664943924619411</v>
      </c>
      <c r="U16">
        <v>7.2188141513593318E-2</v>
      </c>
      <c r="V16">
        <v>0.14543954103202189</v>
      </c>
      <c r="W16">
        <v>0.28801814872059239</v>
      </c>
      <c r="X16">
        <v>1.71330809761161</v>
      </c>
      <c r="Y16">
        <v>0.29677336137762239</v>
      </c>
      <c r="Z16">
        <v>0.26387642481209839</v>
      </c>
      <c r="AA16">
        <v>0.29300657733041802</v>
      </c>
    </row>
    <row r="17" spans="1:27" x14ac:dyDescent="0.3">
      <c r="A17" s="1">
        <v>15</v>
      </c>
      <c r="B17" t="s">
        <v>41</v>
      </c>
      <c r="C17" t="s">
        <v>58</v>
      </c>
      <c r="D17">
        <v>5.1300233419586672</v>
      </c>
      <c r="E17">
        <v>4.5669918488943084</v>
      </c>
      <c r="F17">
        <v>4.0969880349500656</v>
      </c>
      <c r="G17">
        <v>3.7273827841121099</v>
      </c>
      <c r="H17">
        <v>3.385631605820949</v>
      </c>
      <c r="I17">
        <v>2.9887362290790249</v>
      </c>
      <c r="J17">
        <v>3.112120264780915</v>
      </c>
      <c r="K17">
        <v>3.254097251073063</v>
      </c>
      <c r="L17">
        <v>3.2457639104028768</v>
      </c>
      <c r="M17">
        <v>2.9043591936983582</v>
      </c>
      <c r="N17">
        <v>3.385291557036596</v>
      </c>
      <c r="O17">
        <v>2.5347020393857722</v>
      </c>
      <c r="P17">
        <v>2.1474837192310141</v>
      </c>
      <c r="Q17">
        <v>2.268898208309555</v>
      </c>
      <c r="R17">
        <v>2.627219569728223</v>
      </c>
      <c r="S17">
        <v>2.671749777821697</v>
      </c>
      <c r="T17">
        <v>1.2309007239430509</v>
      </c>
      <c r="U17">
        <v>3.3583231614761071</v>
      </c>
      <c r="V17">
        <v>3.6066509192989038</v>
      </c>
      <c r="W17">
        <v>4.0233507830400583</v>
      </c>
      <c r="X17">
        <v>1.6255901121374761</v>
      </c>
      <c r="Y17">
        <v>4.356891087163306</v>
      </c>
      <c r="Z17">
        <v>3.750341576426619</v>
      </c>
      <c r="AA17">
        <v>3.340795483784742</v>
      </c>
    </row>
    <row r="18" spans="1:27" x14ac:dyDescent="0.3">
      <c r="A18" s="1">
        <v>16</v>
      </c>
      <c r="B18" t="s">
        <v>42</v>
      </c>
      <c r="C18" t="s">
        <v>59</v>
      </c>
      <c r="D18">
        <v>2.1532995603083801E-2</v>
      </c>
      <c r="E18">
        <v>3.0164073795871379E-2</v>
      </c>
      <c r="F18">
        <v>3.9907308328021578E-2</v>
      </c>
      <c r="G18">
        <v>6.8682068575687261E-2</v>
      </c>
      <c r="H18">
        <v>0.11165718774619469</v>
      </c>
      <c r="I18">
        <v>0.233864883079693</v>
      </c>
      <c r="J18">
        <v>0.45548559493441282</v>
      </c>
      <c r="K18">
        <v>0.89483907404869223</v>
      </c>
      <c r="L18">
        <v>1.1241985252425919</v>
      </c>
      <c r="M18">
        <v>1.399272233396198</v>
      </c>
      <c r="N18">
        <v>1.0568861856680161</v>
      </c>
      <c r="O18">
        <v>1.562101926801396</v>
      </c>
      <c r="P18">
        <v>1.9501061255591261</v>
      </c>
      <c r="Q18">
        <v>1.94072933958056</v>
      </c>
      <c r="R18">
        <v>1.5316533608306651</v>
      </c>
      <c r="S18">
        <v>1.3312102535728561</v>
      </c>
      <c r="T18">
        <v>2.7583521000005269</v>
      </c>
      <c r="U18">
        <v>0.95653997480488195</v>
      </c>
      <c r="V18">
        <v>0.86959813648296302</v>
      </c>
      <c r="W18">
        <v>0.78300806923037314</v>
      </c>
      <c r="X18">
        <v>3.1580613362550691</v>
      </c>
      <c r="Y18">
        <v>0.92669173259424253</v>
      </c>
      <c r="Z18">
        <v>0.70102369769248218</v>
      </c>
      <c r="AA18">
        <v>0.48670063081379672</v>
      </c>
    </row>
    <row r="20" spans="1:27" x14ac:dyDescent="0.3">
      <c r="D20">
        <v>1</v>
      </c>
      <c r="E20">
        <v>2</v>
      </c>
      <c r="F20">
        <v>3</v>
      </c>
      <c r="G20">
        <v>4</v>
      </c>
      <c r="H20">
        <v>5</v>
      </c>
      <c r="I20">
        <v>6</v>
      </c>
      <c r="J20">
        <v>7</v>
      </c>
      <c r="K20">
        <v>8</v>
      </c>
      <c r="L20">
        <v>9</v>
      </c>
      <c r="M20">
        <v>10</v>
      </c>
      <c r="N20">
        <v>11</v>
      </c>
      <c r="O20">
        <v>12</v>
      </c>
      <c r="P20">
        <v>13</v>
      </c>
      <c r="Q20">
        <v>14</v>
      </c>
      <c r="R20">
        <v>15</v>
      </c>
      <c r="S20">
        <v>16</v>
      </c>
      <c r="T20">
        <v>17</v>
      </c>
      <c r="U20">
        <v>18</v>
      </c>
      <c r="V20">
        <v>19</v>
      </c>
      <c r="W20">
        <v>20</v>
      </c>
      <c r="X20">
        <v>21</v>
      </c>
      <c r="Y20">
        <v>22</v>
      </c>
      <c r="Z20">
        <v>23</v>
      </c>
      <c r="AA20">
        <v>24</v>
      </c>
    </row>
    <row r="21" spans="1:27" x14ac:dyDescent="0.3">
      <c r="C21" t="s">
        <v>62</v>
      </c>
      <c r="D21">
        <f t="shared" ref="D21:AA21" si="0">SUM(D5:D12)</f>
        <v>40.007107914490504</v>
      </c>
      <c r="E21">
        <f t="shared" si="0"/>
        <v>37.260028595613676</v>
      </c>
      <c r="F21">
        <f t="shared" si="0"/>
        <v>34.994490514773737</v>
      </c>
      <c r="G21">
        <f t="shared" si="0"/>
        <v>34.196417839900661</v>
      </c>
      <c r="H21">
        <f t="shared" si="0"/>
        <v>33.721854132472274</v>
      </c>
      <c r="I21">
        <f t="shared" si="0"/>
        <v>34.661496194395546</v>
      </c>
      <c r="J21">
        <f t="shared" si="0"/>
        <v>40.676756271561395</v>
      </c>
      <c r="K21">
        <f t="shared" si="0"/>
        <v>49.94702358414294</v>
      </c>
      <c r="L21">
        <f t="shared" si="0"/>
        <v>53.547582374074501</v>
      </c>
      <c r="M21">
        <f t="shared" si="0"/>
        <v>54.370443917182392</v>
      </c>
      <c r="N21">
        <f t="shared" si="0"/>
        <v>53.628852121292979</v>
      </c>
      <c r="O21">
        <f t="shared" si="0"/>
        <v>52.841916997433003</v>
      </c>
      <c r="P21">
        <f t="shared" si="0"/>
        <v>53.530410970931591</v>
      </c>
      <c r="Q21">
        <f t="shared" si="0"/>
        <v>54.769063880537999</v>
      </c>
      <c r="R21">
        <f t="shared" si="0"/>
        <v>53.379826047239739</v>
      </c>
      <c r="S21">
        <f t="shared" si="0"/>
        <v>51.13541760233192</v>
      </c>
      <c r="T21">
        <f t="shared" si="0"/>
        <v>50.836019045491156</v>
      </c>
      <c r="U21">
        <f t="shared" si="0"/>
        <v>51.849342776402132</v>
      </c>
      <c r="V21">
        <f t="shared" si="0"/>
        <v>52.545739289619782</v>
      </c>
      <c r="W21">
        <f t="shared" si="0"/>
        <v>54.511389099269174</v>
      </c>
      <c r="X21">
        <f t="shared" si="0"/>
        <v>60.483246166339896</v>
      </c>
      <c r="Y21">
        <f t="shared" si="0"/>
        <v>59.97244469644157</v>
      </c>
      <c r="Z21">
        <f t="shared" si="0"/>
        <v>50.696870654309528</v>
      </c>
      <c r="AA21">
        <f t="shared" si="0"/>
        <v>43.138393824756598</v>
      </c>
    </row>
    <row r="22" spans="1:27" x14ac:dyDescent="0.3">
      <c r="C22" t="s">
        <v>60</v>
      </c>
      <c r="D22">
        <f t="shared" ref="D22:AA22" si="1">SUM(D2:D4)</f>
        <v>11.232701862070593</v>
      </c>
      <c r="E22">
        <f t="shared" si="1"/>
        <v>10.766146906668496</v>
      </c>
      <c r="F22">
        <f t="shared" si="1"/>
        <v>10.368619598457141</v>
      </c>
      <c r="G22">
        <f t="shared" si="1"/>
        <v>10.288760848059574</v>
      </c>
      <c r="H22">
        <f t="shared" si="1"/>
        <v>10.282603133779878</v>
      </c>
      <c r="I22">
        <f t="shared" si="1"/>
        <v>10.647785936860666</v>
      </c>
      <c r="J22">
        <f t="shared" si="1"/>
        <v>11.99072605405166</v>
      </c>
      <c r="K22">
        <f t="shared" si="1"/>
        <v>13.977234139142647</v>
      </c>
      <c r="L22">
        <f t="shared" si="1"/>
        <v>14.539047249455649</v>
      </c>
      <c r="M22">
        <f t="shared" si="1"/>
        <v>14.112251012778465</v>
      </c>
      <c r="N22">
        <f t="shared" si="1"/>
        <v>11.690778515084155</v>
      </c>
      <c r="O22">
        <f t="shared" si="1"/>
        <v>12.089970901589918</v>
      </c>
      <c r="P22">
        <f t="shared" si="1"/>
        <v>12.227138816922722</v>
      </c>
      <c r="Q22">
        <f t="shared" si="1"/>
        <v>12.321640408007651</v>
      </c>
      <c r="R22">
        <f t="shared" si="1"/>
        <v>11.912032889242917</v>
      </c>
      <c r="S22">
        <f t="shared" si="1"/>
        <v>11.472833472932932</v>
      </c>
      <c r="T22">
        <f t="shared" si="1"/>
        <v>13.462971465531549</v>
      </c>
      <c r="U22">
        <f t="shared" si="1"/>
        <v>11.66653671450546</v>
      </c>
      <c r="V22">
        <f t="shared" si="1"/>
        <v>12.044828642292394</v>
      </c>
      <c r="W22">
        <f t="shared" si="1"/>
        <v>13.65204077615334</v>
      </c>
      <c r="X22">
        <f t="shared" si="1"/>
        <v>16.4251721723655</v>
      </c>
      <c r="Y22">
        <f t="shared" si="1"/>
        <v>15.477075998744594</v>
      </c>
      <c r="Z22">
        <f t="shared" si="1"/>
        <v>13.835506140576047</v>
      </c>
      <c r="AA22">
        <f t="shared" si="1"/>
        <v>12.443881229857068</v>
      </c>
    </row>
    <row r="23" spans="1:27" x14ac:dyDescent="0.3">
      <c r="C23" t="s">
        <v>63</v>
      </c>
      <c r="D23">
        <f t="shared" ref="D23:AA23" si="2">SUM(D13:D18)</f>
        <v>11.40459063543369</v>
      </c>
      <c r="E23">
        <f t="shared" si="2"/>
        <v>10.071371252713083</v>
      </c>
      <c r="F23">
        <f t="shared" si="2"/>
        <v>8.9771226057713118</v>
      </c>
      <c r="G23">
        <f t="shared" si="2"/>
        <v>8.1781728414180286</v>
      </c>
      <c r="H23">
        <f t="shared" si="2"/>
        <v>7.4953157200320923</v>
      </c>
      <c r="I23">
        <f t="shared" si="2"/>
        <v>6.9228384478435263</v>
      </c>
      <c r="J23">
        <f t="shared" si="2"/>
        <v>7.7899308376441487</v>
      </c>
      <c r="K23">
        <f t="shared" si="2"/>
        <v>12.405691300627991</v>
      </c>
      <c r="L23">
        <f t="shared" si="2"/>
        <v>9.9448747765312628</v>
      </c>
      <c r="M23">
        <f t="shared" si="2"/>
        <v>10.525720356805989</v>
      </c>
      <c r="N23">
        <f t="shared" si="2"/>
        <v>10.74254088000281</v>
      </c>
      <c r="O23">
        <f t="shared" si="2"/>
        <v>10.395211835768395</v>
      </c>
      <c r="P23">
        <f t="shared" si="2"/>
        <v>11.309621630182038</v>
      </c>
      <c r="Q23">
        <f t="shared" si="2"/>
        <v>11.983295240955766</v>
      </c>
      <c r="R23">
        <f t="shared" si="2"/>
        <v>12.112102824919377</v>
      </c>
      <c r="S23">
        <f t="shared" si="2"/>
        <v>11.181794788754665</v>
      </c>
      <c r="T23">
        <f t="shared" si="2"/>
        <v>13.471033854390134</v>
      </c>
      <c r="U23">
        <f t="shared" si="2"/>
        <v>9.7743263213491556</v>
      </c>
      <c r="V23">
        <f t="shared" si="2"/>
        <v>8.9628250142756976</v>
      </c>
      <c r="W23">
        <f t="shared" si="2"/>
        <v>9.676536392070668</v>
      </c>
      <c r="X23">
        <f t="shared" si="2"/>
        <v>14.432647110377214</v>
      </c>
      <c r="Y23">
        <f t="shared" si="2"/>
        <v>15.412284023851981</v>
      </c>
      <c r="Z23">
        <f t="shared" si="2"/>
        <v>9.8557478658096986</v>
      </c>
      <c r="AA23">
        <f t="shared" si="2"/>
        <v>8.380855238002944</v>
      </c>
    </row>
    <row r="24" spans="1:27" x14ac:dyDescent="0.3">
      <c r="C24" t="s">
        <v>61</v>
      </c>
      <c r="D24">
        <f>D22/(D21+D23)</f>
        <v>0.21848532880435548</v>
      </c>
      <c r="E24">
        <f t="shared" ref="E24:AA24" si="3">E22/(E21+E23)</f>
        <v>0.22746309936254919</v>
      </c>
      <c r="F24">
        <f t="shared" si="3"/>
        <v>0.23580257494834922</v>
      </c>
      <c r="G24">
        <f t="shared" si="3"/>
        <v>0.24280496124285841</v>
      </c>
      <c r="H24">
        <f t="shared" si="3"/>
        <v>0.2494737792666544</v>
      </c>
      <c r="I24">
        <f t="shared" si="3"/>
        <v>0.25605281480313102</v>
      </c>
      <c r="J24">
        <f t="shared" si="3"/>
        <v>0.24740139607714584</v>
      </c>
      <c r="K24">
        <f t="shared" si="3"/>
        <v>0.22416400256144189</v>
      </c>
      <c r="L24">
        <f t="shared" si="3"/>
        <v>0.22898857442181911</v>
      </c>
      <c r="M24">
        <f t="shared" si="3"/>
        <v>0.21745893876250133</v>
      </c>
      <c r="N24">
        <f t="shared" si="3"/>
        <v>0.18161450249878577</v>
      </c>
      <c r="O24">
        <f t="shared" si="3"/>
        <v>0.19118469046055614</v>
      </c>
      <c r="P24">
        <f t="shared" si="3"/>
        <v>0.18857391531775261</v>
      </c>
      <c r="Q24">
        <f t="shared" si="3"/>
        <v>0.18458733998571406</v>
      </c>
      <c r="R24">
        <f t="shared" si="3"/>
        <v>0.18188551008316339</v>
      </c>
      <c r="S24">
        <f t="shared" si="3"/>
        <v>0.18410376576109372</v>
      </c>
      <c r="T24">
        <f t="shared" si="3"/>
        <v>0.20935450869583239</v>
      </c>
      <c r="U24">
        <f t="shared" si="3"/>
        <v>0.18931908608037076</v>
      </c>
      <c r="V24">
        <f t="shared" si="3"/>
        <v>0.19582360243010202</v>
      </c>
      <c r="W24">
        <f t="shared" si="3"/>
        <v>0.21268861194143526</v>
      </c>
      <c r="X24">
        <f t="shared" si="3"/>
        <v>0.21924816556208948</v>
      </c>
      <c r="Y24">
        <f t="shared" si="3"/>
        <v>0.20530784233727922</v>
      </c>
      <c r="Z24">
        <f t="shared" si="3"/>
        <v>0.22848733017184153</v>
      </c>
      <c r="AA24">
        <f t="shared" si="3"/>
        <v>0.24153848233886763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Vinicius</cp:lastModifiedBy>
  <dcterms:created xsi:type="dcterms:W3CDTF">2024-11-11T14:25:38Z</dcterms:created>
  <dcterms:modified xsi:type="dcterms:W3CDTF">2024-11-13T12:11:18Z</dcterms:modified>
</cp:coreProperties>
</file>